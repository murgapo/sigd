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showInkAnnotation="0"/>
  <mc:AlternateContent xmlns:mc="http://schemas.openxmlformats.org/markup-compatibility/2006">
    <mc:Choice Requires="x15">
      <x15ac:absPath xmlns:x15ac="http://schemas.microsoft.com/office/spreadsheetml/2010/11/ac" url="C:\Users\murga\Documents\Tecnolac S.A\Formatos Tecnolac S.A\Maestros\Producción\"/>
    </mc:Choice>
  </mc:AlternateContent>
  <xr:revisionPtr revIDLastSave="0" documentId="13_ncr:1_{6C9831E5-E56B-4D8D-BCA9-1E1C0FCE19BB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COSTOS" sheetId="1" r:id="rId1"/>
    <sheet name="PRECIO LECHE" sheetId="3" r:id="rId2"/>
    <sheet name="ARTICULO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1" l="1"/>
  <c r="F34" i="1"/>
  <c r="F35" i="1"/>
  <c r="F36" i="1"/>
  <c r="F32" i="1"/>
  <c r="E33" i="1"/>
  <c r="E34" i="1"/>
  <c r="E35" i="1"/>
  <c r="E36" i="1"/>
  <c r="E32" i="1"/>
  <c r="C33" i="1"/>
  <c r="C34" i="1"/>
  <c r="C35" i="1"/>
  <c r="C36" i="1"/>
  <c r="C32" i="1"/>
  <c r="F11" i="1"/>
  <c r="F12" i="1"/>
  <c r="F13" i="1"/>
  <c r="F14" i="1"/>
  <c r="F15" i="1"/>
  <c r="F16" i="1"/>
  <c r="F17" i="1"/>
  <c r="F18" i="1"/>
  <c r="F19" i="1"/>
  <c r="F10" i="1"/>
  <c r="E11" i="1"/>
  <c r="E12" i="1"/>
  <c r="E13" i="1"/>
  <c r="E14" i="1"/>
  <c r="E15" i="1"/>
  <c r="E16" i="1"/>
  <c r="E17" i="1"/>
  <c r="E18" i="1"/>
  <c r="E19" i="1"/>
  <c r="E10" i="1"/>
  <c r="C11" i="1"/>
  <c r="C12" i="1"/>
  <c r="C13" i="1"/>
  <c r="C14" i="1"/>
  <c r="C15" i="1"/>
  <c r="C16" i="1"/>
  <c r="C17" i="1"/>
  <c r="C18" i="1"/>
  <c r="C19" i="1"/>
  <c r="C10" i="1"/>
  <c r="D38" i="2" l="1"/>
  <c r="G24" i="1" l="1"/>
  <c r="G25" i="1"/>
  <c r="G26" i="1" l="1"/>
  <c r="G27" i="1" s="1"/>
  <c r="K13" i="1" l="1"/>
  <c r="G36" i="1" l="1"/>
  <c r="G35" i="1"/>
  <c r="G34" i="1"/>
  <c r="G33" i="1"/>
  <c r="G32" i="1"/>
  <c r="G38" i="1" s="1"/>
  <c r="G12" i="1"/>
  <c r="G13" i="1"/>
  <c r="G14" i="1"/>
  <c r="G15" i="1"/>
  <c r="G16" i="1"/>
  <c r="G17" i="1"/>
  <c r="G18" i="1"/>
  <c r="G19" i="1"/>
  <c r="G11" i="1" l="1"/>
  <c r="G10" i="1"/>
  <c r="G21" i="1" l="1"/>
  <c r="K12" i="1" s="1"/>
  <c r="G39" i="1" l="1"/>
  <c r="G40" i="1" s="1"/>
  <c r="G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Ovidio Murga Polanco</author>
  </authors>
  <commentList>
    <comment ref="C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Este campo es exclusivo para el ingreso de la Proteina</t>
        </r>
      </text>
    </comment>
    <comment ref="C1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Este campo es exclusivo para el ingreso de la Leche Fluida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<sst xmlns="http://schemas.openxmlformats.org/spreadsheetml/2006/main" count="210" uniqueCount="151">
  <si>
    <t>CODIGO</t>
  </si>
  <si>
    <t>DESCRIPCION DEL PRODUCTO</t>
  </si>
  <si>
    <t>CANTIDAD</t>
  </si>
  <si>
    <t>UNIDAD DE MEDIDA</t>
  </si>
  <si>
    <t>COSTO UNITARIO</t>
  </si>
  <si>
    <t>COSTO TOTAL</t>
  </si>
  <si>
    <t>MATERIA PRIMA</t>
  </si>
  <si>
    <t>LECHE FLUIDA ENTERA</t>
  </si>
  <si>
    <t>LFE-001L/MP</t>
  </si>
  <si>
    <t>CLORURO DE CALCIO</t>
  </si>
  <si>
    <t>SAL FINA</t>
  </si>
  <si>
    <t>ACIDO CITRICO, X-C</t>
  </si>
  <si>
    <t>CUAJO CHYMAX EN LIQUIDO</t>
  </si>
  <si>
    <t>CUL-001S/MP</t>
  </si>
  <si>
    <t>CULTIVO STI 12, 200 U</t>
  </si>
  <si>
    <t>PROTEINA DE LECHE</t>
  </si>
  <si>
    <t>AGUA</t>
  </si>
  <si>
    <t>H2O-001L/MP</t>
  </si>
  <si>
    <t>DECOLORANTE BLEGO</t>
  </si>
  <si>
    <t>LIP-001G/MP</t>
  </si>
  <si>
    <t>LIPASA ENZI-3000</t>
  </si>
  <si>
    <t>BOT-001U/ME</t>
  </si>
  <si>
    <t>ARTICULO</t>
  </si>
  <si>
    <t>BARRIER BAG BH120 CB20.000X26.000STD SEUT P 500</t>
  </si>
  <si>
    <t>MANO DE OBRA DIRECTA</t>
  </si>
  <si>
    <t>LITRO</t>
  </si>
  <si>
    <t>KILOGRAMO</t>
  </si>
  <si>
    <t>MILILITRO</t>
  </si>
  <si>
    <t>SOBRE</t>
  </si>
  <si>
    <t>UNIDAD</t>
  </si>
  <si>
    <t>GRAMO</t>
  </si>
  <si>
    <t>ACC-001K/MP</t>
  </si>
  <si>
    <t>BAR-001U/ME</t>
  </si>
  <si>
    <t>CDC-001K/MP</t>
  </si>
  <si>
    <t>PDL-001K/MP</t>
  </si>
  <si>
    <t>SAL-001K/MP</t>
  </si>
  <si>
    <t>CUA-001M/MP</t>
  </si>
  <si>
    <t>DEC-001M/MP</t>
  </si>
  <si>
    <t>PRECIO PROMEDIO DE LECHE</t>
  </si>
  <si>
    <t>PRU-001G/MP</t>
  </si>
  <si>
    <t>PRESERVANTE UNIESTAB 330</t>
  </si>
  <si>
    <t>PRODUCTO:</t>
  </si>
  <si>
    <t>LOTE:</t>
  </si>
  <si>
    <t>FECHA:</t>
  </si>
  <si>
    <t>INSUMOS</t>
  </si>
  <si>
    <t>COSTOS DE PRODUCCION</t>
  </si>
  <si>
    <t>DESCRIPCION DEL ARTICULO</t>
  </si>
  <si>
    <t>RENDIMIENTO (%)</t>
  </si>
  <si>
    <t>MOD-001U/RH</t>
  </si>
  <si>
    <t>BDF-001K/ME</t>
  </si>
  <si>
    <t>BOBINA DE FILM</t>
  </si>
  <si>
    <t>CCC-001U/ME</t>
  </si>
  <si>
    <t>Cartones (Caja Corrugada)</t>
  </si>
  <si>
    <t>CRE-001K/MP</t>
  </si>
  <si>
    <t>EDP-080G/ME</t>
  </si>
  <si>
    <t>Envase Dúo de Plástico Queso Fresco</t>
  </si>
  <si>
    <t>ERP-453G/ME</t>
  </si>
  <si>
    <t>Envase Rectangular de Plástico Queso Fresco</t>
  </si>
  <si>
    <t>FPB-001R/ME</t>
  </si>
  <si>
    <t>Film de Propiester Blanco XT 12/50 Micras</t>
  </si>
  <si>
    <t>FTA-001R/ME</t>
  </si>
  <si>
    <t>Film de Tapa para Alimentos 350mmX280mm</t>
  </si>
  <si>
    <t>MANTEQUILLA 84%</t>
  </si>
  <si>
    <t>QUESO CHEDDAR</t>
  </si>
  <si>
    <t>QUESO DURO BLANDO</t>
  </si>
  <si>
    <t>QUESO DE SEDA, 80 GRAMOS</t>
  </si>
  <si>
    <t>QUESO DE SEDA, 454 GRAMOS</t>
  </si>
  <si>
    <t>QUESO DURO VIEJO</t>
  </si>
  <si>
    <t>QUESO DURO MONTEREY JACK</t>
  </si>
  <si>
    <t>QUESO PARMESANO</t>
  </si>
  <si>
    <t>TQS-080G/ME</t>
  </si>
  <si>
    <t>TARRINA QUESO D´SEDA, 80 gramos</t>
  </si>
  <si>
    <t>TQS-454G/ME</t>
  </si>
  <si>
    <t>TARRINA QUESO D´SEDA, 454 gramos</t>
  </si>
  <si>
    <t>QUESO PANELA</t>
  </si>
  <si>
    <t>SUBTOTAL DE MATERIA PRIMA:</t>
  </si>
  <si>
    <t>KILOS DE QUESO PRODUCIDO:</t>
  </si>
  <si>
    <t>PRECIO POR KILO:</t>
  </si>
  <si>
    <t>LITROS DE LECHE UTILIZADOS:</t>
  </si>
  <si>
    <t>LECHE EQUIVALENTE:</t>
  </si>
  <si>
    <t>LECHE TOTAL:</t>
  </si>
  <si>
    <t>SUBTOTAL DE INSUMOS:</t>
  </si>
  <si>
    <t>TOTAL COSTO DE PRODUCCION (MATERIA PRIMA + INSUMOS):</t>
  </si>
  <si>
    <t>PRECIO POR KILO (FINAL):</t>
  </si>
  <si>
    <t>UNIDADES PRODUCIDAS:</t>
  </si>
  <si>
    <t>PESO EN KILO:</t>
  </si>
  <si>
    <t>PRECIO POR UNIDAD:</t>
  </si>
  <si>
    <t>KILOS PRODUCIDOS:</t>
  </si>
  <si>
    <t>NIC-001G/AD</t>
  </si>
  <si>
    <t>QUALACT N NICINA (ADITIVO)</t>
  </si>
  <si>
    <t>CTP-001M/AD</t>
  </si>
  <si>
    <t>CT-90 CTP (ADITIVO)</t>
  </si>
  <si>
    <t>QCH-001K/PT</t>
  </si>
  <si>
    <t>QDB-001K/PT</t>
  </si>
  <si>
    <t>QDS-080G/PT</t>
  </si>
  <si>
    <t>QDS-454G/PT</t>
  </si>
  <si>
    <t>QDV-001K/PT</t>
  </si>
  <si>
    <t>QMJ-001K/PT</t>
  </si>
  <si>
    <t>QPA-001K/PT</t>
  </si>
  <si>
    <t>MAN-001K/PT</t>
  </si>
  <si>
    <t>MOI-001U/RH</t>
  </si>
  <si>
    <t>MANO DE OBRA INDIRECTA</t>
  </si>
  <si>
    <t>QUEDO DE SEDA, 800 GRAMOS</t>
  </si>
  <si>
    <t>QDS-800G/PT</t>
  </si>
  <si>
    <t>BOLSAS TRANSPARENTES 7" X 7.5"</t>
  </si>
  <si>
    <t>Bandeja Plástica</t>
  </si>
  <si>
    <t>BAP-001U/ME</t>
  </si>
  <si>
    <t>CREMA 30%</t>
  </si>
  <si>
    <t>LECHE EVAPORADA/CONCENTRADA</t>
  </si>
  <si>
    <t>LEC-001K/PT</t>
  </si>
  <si>
    <t>CQS-800G/ME</t>
  </si>
  <si>
    <t>CHAROLA QUESO D´SEDA, 800 gramos</t>
  </si>
  <si>
    <t>ETIQUETA PANELA FRENTE</t>
  </si>
  <si>
    <t>EPF-001U/ME</t>
  </si>
  <si>
    <t>EPD-001U/ME</t>
  </si>
  <si>
    <t>ETIQUITA PANELA DORSO</t>
  </si>
  <si>
    <t>ETIQUETA QUESO FRESO FRENTE</t>
  </si>
  <si>
    <t>EFF-001U/ME</t>
  </si>
  <si>
    <t>ETIQUETA QUESO FRESO DORSO</t>
  </si>
  <si>
    <t>EFD-001U/ME</t>
  </si>
  <si>
    <t>DETERGENTE ALCALINO CIP</t>
  </si>
  <si>
    <t>DAI-001L/PL</t>
  </si>
  <si>
    <t>DETERGENTE ACIDO CIP</t>
  </si>
  <si>
    <t>DCI-001L/PL</t>
  </si>
  <si>
    <t>DESINFECTANTE CIP</t>
  </si>
  <si>
    <t>DCP-001L/PL</t>
  </si>
  <si>
    <t>DETERGENTE BASICO PARA UF</t>
  </si>
  <si>
    <t>DBF-001L/PL</t>
  </si>
  <si>
    <t>DETERGENTE BASICO FUERTE UF</t>
  </si>
  <si>
    <t>DFF-001L/PL</t>
  </si>
  <si>
    <t>DETERGENTE ACIDO UF</t>
  </si>
  <si>
    <t>DAF-001L/PL</t>
  </si>
  <si>
    <t>DETERGENTE ENZIMATICO UF</t>
  </si>
  <si>
    <t>DEF-001L/PL</t>
  </si>
  <si>
    <t>DETERGENTE ALCALINO COP</t>
  </si>
  <si>
    <t>DAO-001L/PL</t>
  </si>
  <si>
    <t>DETERGENTE ACIDO COP</t>
  </si>
  <si>
    <t>DCO-001L/PL</t>
  </si>
  <si>
    <t>DESINFECTANTE COP</t>
  </si>
  <si>
    <t>DEO-001L/PL</t>
  </si>
  <si>
    <t>ESB-001U/ME</t>
  </si>
  <si>
    <t>ETQIUETA STANDARD PARA BLOQUES DE QUESO</t>
  </si>
  <si>
    <t>QUESO FRESCO CUAJADA</t>
  </si>
  <si>
    <t>QFC-400G/PT</t>
  </si>
  <si>
    <t>QUP-400G/PT</t>
  </si>
  <si>
    <t>DCF-001K/PL</t>
  </si>
  <si>
    <t>DETERGENTE ACIDO CITRICO EN SACO</t>
  </si>
  <si>
    <t>PR01.0212/16</t>
  </si>
  <si>
    <t>GRUPO "SAN JULIAN"</t>
  </si>
  <si>
    <t>CODIGO DE SIGD</t>
  </si>
  <si>
    <t>Edición: 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</si>
</sst>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Q&quot;* #,##0.00_-;\-&quot;Q&quot;* #,##0.00_-;_-&quot;Q&quot;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24"/>
      <color theme="8" tint="-0.499984740745262"/>
      <name val="Calibri"/>
      <family val="2"/>
      <scheme val="minor"/>
    </font>
    <font>
      <sz val="14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8" tint="-0.499984740745262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sz val="10"/>
      <color theme="8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1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ill="1"/>
    <xf numFmtId="0" fontId="4" fillId="2" borderId="0" xfId="0" applyFont="1" applyFill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" fillId="0" borderId="0" xfId="0" applyFont="1" applyFill="1" applyBorder="1" applyProtection="1">
      <protection locked="0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44" fontId="3" fillId="0" borderId="0" xfId="1" applyFont="1" applyFill="1" applyBorder="1" applyProtection="1"/>
    <xf numFmtId="0" fontId="3" fillId="3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 vertical="center"/>
    </xf>
    <xf numFmtId="0" fontId="0" fillId="3" borderId="0" xfId="0" applyFill="1"/>
    <xf numFmtId="0" fontId="3" fillId="0" borderId="0" xfId="0" applyFont="1" applyFill="1"/>
    <xf numFmtId="44" fontId="0" fillId="0" borderId="0" xfId="1" applyFont="1" applyFill="1"/>
    <xf numFmtId="0" fontId="10" fillId="0" borderId="0" xfId="0" applyFont="1" applyFill="1"/>
    <xf numFmtId="0" fontId="3" fillId="0" borderId="0" xfId="0" applyFont="1" applyFill="1" applyBorder="1" applyAlignment="1">
      <alignment horizontal="left" vertical="center"/>
    </xf>
    <xf numFmtId="0" fontId="11" fillId="0" borderId="0" xfId="0" applyFont="1" applyFill="1"/>
    <xf numFmtId="0" fontId="8" fillId="0" borderId="0" xfId="0" applyFont="1" applyFill="1" applyAlignment="1">
      <alignment horizontal="center" vertical="center" wrapText="1"/>
    </xf>
    <xf numFmtId="44" fontId="8" fillId="0" borderId="0" xfId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0" fillId="2" borderId="0" xfId="0" applyFont="1" applyFill="1" applyBorder="1" applyProtection="1">
      <protection locked="0"/>
    </xf>
    <xf numFmtId="0" fontId="0" fillId="2" borderId="0" xfId="0" applyFont="1" applyFill="1" applyBorder="1"/>
    <xf numFmtId="0" fontId="0" fillId="2" borderId="0" xfId="0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Alignment="1">
      <alignment horizontal="center"/>
    </xf>
    <xf numFmtId="44" fontId="0" fillId="2" borderId="0" xfId="1" applyFont="1" applyFill="1" applyBorder="1" applyProtection="1">
      <protection locked="0"/>
    </xf>
    <xf numFmtId="44" fontId="2" fillId="2" borderId="0" xfId="1" applyFont="1" applyFill="1" applyBorder="1" applyAlignment="1" applyProtection="1">
      <alignment horizontal="center" vertical="center"/>
      <protection locked="0"/>
    </xf>
    <xf numFmtId="0" fontId="0" fillId="0" borderId="0" xfId="0" applyFont="1" applyFill="1"/>
    <xf numFmtId="0" fontId="9" fillId="0" borderId="0" xfId="0" applyFont="1" applyFill="1" applyBorder="1" applyAlignment="1">
      <alignment horizontal="right" vertical="center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14" fontId="7" fillId="0" borderId="0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wrapText="1"/>
    </xf>
    <xf numFmtId="44" fontId="8" fillId="0" borderId="0" xfId="1" applyFont="1" applyFill="1" applyBorder="1" applyProtection="1"/>
    <xf numFmtId="0" fontId="8" fillId="0" borderId="0" xfId="0" applyFont="1" applyFill="1" applyBorder="1" applyProtection="1"/>
    <xf numFmtId="44" fontId="8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 applyProtection="1">
      <alignment horizontal="right" vertical="center"/>
      <protection locked="0"/>
    </xf>
    <xf numFmtId="10" fontId="8" fillId="0" borderId="0" xfId="0" applyNumberFormat="1" applyFont="1" applyFill="1" applyBorder="1" applyAlignment="1">
      <alignment horizontal="right" vertical="center"/>
    </xf>
    <xf numFmtId="44" fontId="8" fillId="0" borderId="0" xfId="1" applyFont="1" applyFill="1" applyAlignment="1">
      <alignment horizontal="center" vertical="center"/>
    </xf>
    <xf numFmtId="0" fontId="8" fillId="0" borderId="0" xfId="0" applyFont="1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 vertical="center"/>
    </xf>
    <xf numFmtId="44" fontId="8" fillId="0" borderId="0" xfId="1" applyFont="1" applyFill="1" applyProtection="1">
      <protection locked="0"/>
    </xf>
    <xf numFmtId="0" fontId="8" fillId="3" borderId="0" xfId="0" applyFont="1" applyFill="1" applyAlignment="1">
      <alignment horizontal="left"/>
    </xf>
    <xf numFmtId="0" fontId="8" fillId="3" borderId="0" xfId="0" applyFont="1" applyFill="1"/>
    <xf numFmtId="0" fontId="8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Fill="1" applyBorder="1" applyAlignment="1" applyProtection="1">
      <alignment horizontal="right"/>
      <protection locked="0"/>
    </xf>
    <xf numFmtId="0" fontId="16" fillId="0" borderId="0" xfId="0" applyFont="1" applyFill="1" applyAlignment="1">
      <alignment horizontal="right"/>
    </xf>
    <xf numFmtId="0" fontId="17" fillId="0" borderId="0" xfId="0" applyFont="1" applyFill="1"/>
    <xf numFmtId="0" fontId="8" fillId="0" borderId="0" xfId="0" applyFont="1" applyFill="1" applyBorder="1" applyAlignment="1" applyProtection="1">
      <alignment horizontal="right"/>
      <protection locked="0"/>
    </xf>
    <xf numFmtId="0" fontId="3" fillId="2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right"/>
    </xf>
    <xf numFmtId="0" fontId="0" fillId="2" borderId="0" xfId="0" applyFill="1" applyAlignment="1">
      <alignment horizontal="center"/>
    </xf>
    <xf numFmtId="0" fontId="16" fillId="0" borderId="0" xfId="0" applyFont="1" applyFill="1" applyAlignment="1">
      <alignment horizontal="right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textRotation="90"/>
    </xf>
    <xf numFmtId="0" fontId="15" fillId="0" borderId="0" xfId="0" applyFont="1" applyFill="1" applyBorder="1" applyAlignment="1">
      <alignment horizontal="center" vertical="center" textRotation="90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57338</xdr:colOff>
      <xdr:row>0</xdr:row>
      <xdr:rowOff>28575</xdr:rowOff>
    </xdr:from>
    <xdr:to>
      <xdr:col>0</xdr:col>
      <xdr:colOff>667670</xdr:colOff>
      <xdr:row>2</xdr:row>
      <xdr:rowOff>223575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9E8D16-CEBC-494F-B62A-ED51E16BA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38" y="28575"/>
          <a:ext cx="610332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 tint="-0.499984740745262"/>
  </sheetPr>
  <dimension ref="A1:M42"/>
  <sheetViews>
    <sheetView tabSelected="1" workbookViewId="0">
      <selection activeCell="B1" sqref="B1:F2"/>
    </sheetView>
  </sheetViews>
  <sheetFormatPr baseColWidth="10" defaultRowHeight="15" x14ac:dyDescent="0.25"/>
  <cols>
    <col min="1" max="1" width="10.7109375" customWidth="1"/>
    <col min="2" max="2" width="15.7109375" customWidth="1"/>
    <col min="3" max="3" width="43.7109375" customWidth="1"/>
    <col min="4" max="4" width="10.7109375" customWidth="1"/>
    <col min="5" max="6" width="12.7109375" customWidth="1"/>
    <col min="7" max="7" width="13.7109375" style="3" customWidth="1"/>
    <col min="11" max="11" width="11.7109375" customWidth="1"/>
  </cols>
  <sheetData>
    <row r="1" spans="1:13" ht="15" customHeight="1" x14ac:dyDescent="0.25">
      <c r="A1" s="66"/>
      <c r="B1" s="67" t="s">
        <v>148</v>
      </c>
      <c r="C1" s="67"/>
      <c r="D1" s="67"/>
      <c r="E1" s="67"/>
      <c r="F1" s="67"/>
      <c r="G1" s="7" t="s">
        <v>149</v>
      </c>
      <c r="H1" s="4"/>
      <c r="I1" s="4"/>
      <c r="J1" s="4"/>
      <c r="K1" s="4"/>
      <c r="L1" s="4"/>
      <c r="M1" s="4"/>
    </row>
    <row r="2" spans="1:13" ht="15" customHeight="1" x14ac:dyDescent="0.25">
      <c r="A2" s="66"/>
      <c r="B2" s="67"/>
      <c r="C2" s="67"/>
      <c r="D2" s="67"/>
      <c r="E2" s="67"/>
      <c r="F2" s="67"/>
      <c r="G2" s="6" t="s">
        <v>147</v>
      </c>
      <c r="H2" s="4"/>
      <c r="I2" s="4"/>
      <c r="J2" s="4"/>
      <c r="K2" s="4"/>
      <c r="L2" s="4"/>
      <c r="M2" s="4"/>
    </row>
    <row r="3" spans="1:13" ht="20.100000000000001" customHeight="1" x14ac:dyDescent="0.25">
      <c r="A3" s="66"/>
      <c r="B3" s="68" t="s">
        <v>45</v>
      </c>
      <c r="C3" s="68"/>
      <c r="D3" s="68"/>
      <c r="E3" s="68"/>
      <c r="F3" s="68"/>
      <c r="G3" s="6" t="s">
        <v>150</v>
      </c>
      <c r="H3" s="4"/>
      <c r="I3" s="4"/>
      <c r="J3" s="4"/>
      <c r="K3" s="4"/>
      <c r="L3" s="4"/>
      <c r="M3" s="4"/>
    </row>
    <row r="4" spans="1:13" ht="9.9499999999999993" customHeight="1" x14ac:dyDescent="0.25">
      <c r="A4" s="12"/>
      <c r="B4" s="13"/>
      <c r="C4" s="13"/>
      <c r="D4" s="13"/>
      <c r="E4" s="13"/>
      <c r="F4" s="13"/>
      <c r="G4" s="13"/>
      <c r="H4" s="4"/>
      <c r="I4" s="4"/>
      <c r="J4" s="4"/>
      <c r="K4" s="4"/>
      <c r="L4" s="4"/>
      <c r="M4" s="4"/>
    </row>
    <row r="5" spans="1:13" ht="15" customHeight="1" x14ac:dyDescent="0.25">
      <c r="A5" s="10"/>
      <c r="B5" s="32" t="s">
        <v>41</v>
      </c>
      <c r="C5" s="33"/>
      <c r="D5" s="32" t="s">
        <v>42</v>
      </c>
      <c r="E5" s="34"/>
      <c r="F5" s="32" t="s">
        <v>43</v>
      </c>
      <c r="G5" s="35"/>
      <c r="H5" s="4"/>
      <c r="I5" s="4"/>
      <c r="J5" s="4"/>
      <c r="K5" s="4"/>
      <c r="L5" s="4"/>
      <c r="M5" s="4"/>
    </row>
    <row r="6" spans="1:13" ht="9.9499999999999993" customHeight="1" x14ac:dyDescent="0.25">
      <c r="A6" s="10"/>
      <c r="B6" s="32"/>
      <c r="C6" s="36"/>
      <c r="D6" s="32"/>
      <c r="E6" s="37"/>
      <c r="F6" s="32"/>
      <c r="G6" s="38"/>
      <c r="H6" s="4"/>
      <c r="I6" s="4"/>
      <c r="J6" s="4"/>
      <c r="K6" s="4"/>
      <c r="L6" s="4"/>
      <c r="M6" s="4"/>
    </row>
    <row r="7" spans="1:13" ht="2.1" customHeight="1" x14ac:dyDescent="0.25">
      <c r="A7" s="15"/>
      <c r="B7" s="39"/>
      <c r="C7" s="39"/>
      <c r="D7" s="39"/>
      <c r="E7" s="39"/>
      <c r="F7" s="39"/>
      <c r="G7" s="40"/>
      <c r="H7" s="4"/>
      <c r="I7" s="49"/>
      <c r="J7" s="49"/>
      <c r="K7" s="49"/>
      <c r="L7" s="4"/>
      <c r="M7" s="4"/>
    </row>
    <row r="8" spans="1:13" ht="26.25" x14ac:dyDescent="0.25">
      <c r="A8" s="4"/>
      <c r="B8" s="60" t="s">
        <v>0</v>
      </c>
      <c r="C8" s="60" t="s">
        <v>46</v>
      </c>
      <c r="D8" s="60" t="s">
        <v>2</v>
      </c>
      <c r="E8" s="41" t="s">
        <v>3</v>
      </c>
      <c r="F8" s="41" t="s">
        <v>4</v>
      </c>
      <c r="G8" s="61" t="s">
        <v>5</v>
      </c>
      <c r="H8" s="4"/>
      <c r="I8" s="62" t="s">
        <v>74</v>
      </c>
      <c r="J8" s="62"/>
      <c r="K8" s="62"/>
      <c r="L8" s="4"/>
      <c r="M8" s="4"/>
    </row>
    <row r="9" spans="1:13" s="4" customFormat="1" ht="2.1" customHeight="1" x14ac:dyDescent="0.25">
      <c r="A9" s="69" t="s">
        <v>6</v>
      </c>
      <c r="B9" s="22"/>
      <c r="C9" s="22"/>
      <c r="D9" s="22"/>
      <c r="E9" s="23"/>
      <c r="F9" s="23"/>
      <c r="G9" s="24"/>
      <c r="I9" s="64"/>
      <c r="J9" s="64"/>
      <c r="K9" s="64"/>
    </row>
    <row r="10" spans="1:13" ht="15" customHeight="1" x14ac:dyDescent="0.25">
      <c r="A10" s="69"/>
      <c r="B10" s="8"/>
      <c r="C10" s="9" t="e">
        <f>VLOOKUP(B10,ARTICULOS!$A$3:$D$58,2)</f>
        <v>#N/A</v>
      </c>
      <c r="D10" s="55"/>
      <c r="E10" s="10" t="e">
        <f>VLOOKUP(B10,ARTICULOS!$A$3:$D$58,3)</f>
        <v>#N/A</v>
      </c>
      <c r="F10" s="11" t="e">
        <f>VLOOKUP(B10,ARTICULOS!$A$3:$D$58,4)</f>
        <v>#N/A</v>
      </c>
      <c r="G10" s="21" t="e">
        <f t="shared" ref="G10:G19" si="0">D10*F10</f>
        <v>#N/A</v>
      </c>
      <c r="H10" s="4"/>
      <c r="I10" s="63" t="s">
        <v>84</v>
      </c>
      <c r="J10" s="63"/>
      <c r="K10" s="58"/>
      <c r="L10" s="4"/>
      <c r="M10" s="4"/>
    </row>
    <row r="11" spans="1:13" x14ac:dyDescent="0.25">
      <c r="A11" s="69"/>
      <c r="B11" s="8"/>
      <c r="C11" s="9" t="e">
        <f>VLOOKUP(B11,ARTICULOS!$A$3:$D$58,2)</f>
        <v>#N/A</v>
      </c>
      <c r="D11" s="55"/>
      <c r="E11" s="10" t="e">
        <f>VLOOKUP(B11,ARTICULOS!$A$3:$D$58,3)</f>
        <v>#N/A</v>
      </c>
      <c r="F11" s="11" t="e">
        <f>VLOOKUP(B11,ARTICULOS!$A$3:$D$58,4)</f>
        <v>#N/A</v>
      </c>
      <c r="G11" s="21" t="e">
        <f t="shared" si="0"/>
        <v>#N/A</v>
      </c>
      <c r="H11" s="4"/>
      <c r="I11" s="63" t="s">
        <v>85</v>
      </c>
      <c r="J11" s="63"/>
      <c r="K11" s="58"/>
      <c r="L11" s="4"/>
      <c r="M11" s="4"/>
    </row>
    <row r="12" spans="1:13" x14ac:dyDescent="0.25">
      <c r="A12" s="69"/>
      <c r="B12" s="8"/>
      <c r="C12" s="9" t="e">
        <f>VLOOKUP(B12,ARTICULOS!$A$3:$D$58,2)</f>
        <v>#N/A</v>
      </c>
      <c r="D12" s="55"/>
      <c r="E12" s="10" t="e">
        <f>VLOOKUP(B12,ARTICULOS!$A$3:$D$58,3)</f>
        <v>#N/A</v>
      </c>
      <c r="F12" s="11" t="e">
        <f>VLOOKUP(B12,ARTICULOS!$A$3:$D$58,4)</f>
        <v>#N/A</v>
      </c>
      <c r="G12" s="21" t="e">
        <f t="shared" si="0"/>
        <v>#N/A</v>
      </c>
      <c r="H12" s="4"/>
      <c r="I12" s="63" t="s">
        <v>86</v>
      </c>
      <c r="J12" s="63"/>
      <c r="K12" s="42" t="e">
        <f>$G$21/$K$10</f>
        <v>#N/A</v>
      </c>
      <c r="L12" s="4"/>
      <c r="M12" s="4"/>
    </row>
    <row r="13" spans="1:13" x14ac:dyDescent="0.25">
      <c r="A13" s="69"/>
      <c r="B13" s="8"/>
      <c r="C13" s="9" t="e">
        <f>VLOOKUP(B13,ARTICULOS!$A$3:$D$58,2)</f>
        <v>#N/A</v>
      </c>
      <c r="D13" s="55"/>
      <c r="E13" s="10" t="e">
        <f>VLOOKUP(B13,ARTICULOS!$A$3:$D$58,3)</f>
        <v>#N/A</v>
      </c>
      <c r="F13" s="11" t="e">
        <f>VLOOKUP(B13,ARTICULOS!$A$3:$D$58,4)</f>
        <v>#N/A</v>
      </c>
      <c r="G13" s="21" t="e">
        <f t="shared" si="0"/>
        <v>#N/A</v>
      </c>
      <c r="H13" s="4"/>
      <c r="I13" s="63" t="s">
        <v>87</v>
      </c>
      <c r="J13" s="63"/>
      <c r="K13" s="43">
        <f>K10*K11</f>
        <v>0</v>
      </c>
      <c r="L13" s="4"/>
      <c r="M13" s="4"/>
    </row>
    <row r="14" spans="1:13" x14ac:dyDescent="0.25">
      <c r="A14" s="69"/>
      <c r="B14" s="8"/>
      <c r="C14" s="9" t="e">
        <f>VLOOKUP(B14,ARTICULOS!$A$3:$D$58,2)</f>
        <v>#N/A</v>
      </c>
      <c r="D14" s="55"/>
      <c r="E14" s="10" t="e">
        <f>VLOOKUP(B14,ARTICULOS!$A$3:$D$58,3)</f>
        <v>#N/A</v>
      </c>
      <c r="F14" s="11" t="e">
        <f>VLOOKUP(B14,ARTICULOS!$A$3:$D$58,4)</f>
        <v>#N/A</v>
      </c>
      <c r="G14" s="21" t="e">
        <f t="shared" si="0"/>
        <v>#N/A</v>
      </c>
      <c r="H14" s="4"/>
      <c r="I14" s="4"/>
      <c r="J14" s="4"/>
      <c r="K14" s="4"/>
      <c r="L14" s="4"/>
      <c r="M14" s="4"/>
    </row>
    <row r="15" spans="1:13" x14ac:dyDescent="0.25">
      <c r="A15" s="69"/>
      <c r="B15" s="8"/>
      <c r="C15" s="9" t="e">
        <f>VLOOKUP(B15,ARTICULOS!$A$3:$D$58,2)</f>
        <v>#N/A</v>
      </c>
      <c r="D15" s="55"/>
      <c r="E15" s="10" t="e">
        <f>VLOOKUP(B15,ARTICULOS!$A$3:$D$58,3)</f>
        <v>#N/A</v>
      </c>
      <c r="F15" s="11" t="e">
        <f>VLOOKUP(B15,ARTICULOS!$A$3:$D$58,4)</f>
        <v>#N/A</v>
      </c>
      <c r="G15" s="21" t="e">
        <f t="shared" si="0"/>
        <v>#N/A</v>
      </c>
      <c r="H15" s="4"/>
      <c r="I15" s="4"/>
      <c r="J15" s="4"/>
      <c r="K15" s="4"/>
      <c r="L15" s="4"/>
      <c r="M15" s="4"/>
    </row>
    <row r="16" spans="1:13" x14ac:dyDescent="0.25">
      <c r="A16" s="69"/>
      <c r="B16" s="8"/>
      <c r="C16" s="9" t="e">
        <f>VLOOKUP(B16,ARTICULOS!$A$3:$D$58,2)</f>
        <v>#N/A</v>
      </c>
      <c r="D16" s="55"/>
      <c r="E16" s="10" t="e">
        <f>VLOOKUP(B16,ARTICULOS!$A$3:$D$58,3)</f>
        <v>#N/A</v>
      </c>
      <c r="F16" s="11" t="e">
        <f>VLOOKUP(B16,ARTICULOS!$A$3:$D$58,4)</f>
        <v>#N/A</v>
      </c>
      <c r="G16" s="21" t="e">
        <f t="shared" si="0"/>
        <v>#N/A</v>
      </c>
      <c r="H16" s="4"/>
      <c r="I16" s="4"/>
      <c r="J16" s="4"/>
      <c r="K16" s="4"/>
      <c r="L16" s="4"/>
      <c r="M16" s="4"/>
    </row>
    <row r="17" spans="1:13" x14ac:dyDescent="0.25">
      <c r="A17" s="69"/>
      <c r="B17" s="8"/>
      <c r="C17" s="9" t="e">
        <f>VLOOKUP(B17,ARTICULOS!$A$3:$D$58,2)</f>
        <v>#N/A</v>
      </c>
      <c r="D17" s="55"/>
      <c r="E17" s="10" t="e">
        <f>VLOOKUP(B17,ARTICULOS!$A$3:$D$58,3)</f>
        <v>#N/A</v>
      </c>
      <c r="F17" s="11" t="e">
        <f>VLOOKUP(B17,ARTICULOS!$A$3:$D$58,4)</f>
        <v>#N/A</v>
      </c>
      <c r="G17" s="21" t="e">
        <f t="shared" si="0"/>
        <v>#N/A</v>
      </c>
      <c r="H17" s="4"/>
      <c r="I17" s="4"/>
      <c r="J17" s="4"/>
      <c r="K17" s="4"/>
      <c r="L17" s="4"/>
      <c r="M17" s="4"/>
    </row>
    <row r="18" spans="1:13" x14ac:dyDescent="0.25">
      <c r="A18" s="69"/>
      <c r="B18" s="8"/>
      <c r="C18" s="9" t="e">
        <f>VLOOKUP(B18,ARTICULOS!$A$3:$D$58,2)</f>
        <v>#N/A</v>
      </c>
      <c r="D18" s="55"/>
      <c r="E18" s="10" t="e">
        <f>VLOOKUP(B18,ARTICULOS!$A$3:$D$58,3)</f>
        <v>#N/A</v>
      </c>
      <c r="F18" s="11" t="e">
        <f>VLOOKUP(B18,ARTICULOS!$A$3:$D$58,4)</f>
        <v>#N/A</v>
      </c>
      <c r="G18" s="21" t="e">
        <f t="shared" si="0"/>
        <v>#N/A</v>
      </c>
      <c r="H18" s="4"/>
      <c r="I18" s="4"/>
      <c r="J18" s="4"/>
      <c r="K18" s="4"/>
      <c r="L18" s="4"/>
      <c r="M18" s="4"/>
    </row>
    <row r="19" spans="1:13" x14ac:dyDescent="0.25">
      <c r="A19" s="69"/>
      <c r="B19" s="8"/>
      <c r="C19" s="9" t="e">
        <f>VLOOKUP(B19,ARTICULOS!$A$3:$D$58,2)</f>
        <v>#N/A</v>
      </c>
      <c r="D19" s="55"/>
      <c r="E19" s="10" t="e">
        <f>VLOOKUP(B19,ARTICULOS!$A$3:$D$58,3)</f>
        <v>#N/A</v>
      </c>
      <c r="F19" s="11" t="e">
        <f>VLOOKUP(B19,ARTICULOS!$A$3:$D$58,4)</f>
        <v>#N/A</v>
      </c>
      <c r="G19" s="21" t="e">
        <f t="shared" si="0"/>
        <v>#N/A</v>
      </c>
      <c r="H19" s="4"/>
      <c r="I19" s="4"/>
      <c r="J19" s="4"/>
      <c r="K19" s="4"/>
      <c r="L19" s="4"/>
      <c r="M19" s="4"/>
    </row>
    <row r="20" spans="1:13" s="4" customFormat="1" ht="2.4500000000000002" customHeight="1" x14ac:dyDescent="0.25">
      <c r="A20" s="69"/>
      <c r="B20" s="25"/>
      <c r="C20" s="59"/>
      <c r="D20" s="27"/>
      <c r="E20" s="28"/>
      <c r="F20" s="29"/>
      <c r="G20" s="30"/>
    </row>
    <row r="21" spans="1:13" x14ac:dyDescent="0.25">
      <c r="A21" s="4"/>
      <c r="B21" s="31"/>
      <c r="C21" s="31"/>
      <c r="D21" s="65" t="s">
        <v>75</v>
      </c>
      <c r="E21" s="65"/>
      <c r="F21" s="65"/>
      <c r="G21" s="44" t="e">
        <f>SUM(G10:G19)</f>
        <v>#N/A</v>
      </c>
      <c r="H21" s="4"/>
      <c r="I21" s="4"/>
      <c r="J21" s="4"/>
      <c r="K21" s="4"/>
      <c r="L21" s="4"/>
      <c r="M21" s="4"/>
    </row>
    <row r="22" spans="1:13" x14ac:dyDescent="0.25">
      <c r="A22" s="4"/>
      <c r="B22" s="31"/>
      <c r="C22" s="31"/>
      <c r="D22" s="65" t="s">
        <v>76</v>
      </c>
      <c r="E22" s="65"/>
      <c r="F22" s="65"/>
      <c r="G22" s="45"/>
      <c r="H22" s="4"/>
      <c r="I22" s="4"/>
      <c r="J22" s="4"/>
      <c r="K22" s="4"/>
      <c r="L22" s="4"/>
      <c r="M22" s="4"/>
    </row>
    <row r="23" spans="1:13" x14ac:dyDescent="0.25">
      <c r="A23" s="4"/>
      <c r="B23" s="31"/>
      <c r="C23" s="31"/>
      <c r="D23" s="65" t="s">
        <v>77</v>
      </c>
      <c r="E23" s="65"/>
      <c r="F23" s="65"/>
      <c r="G23" s="44" t="e">
        <f>G21/G22</f>
        <v>#N/A</v>
      </c>
      <c r="H23" s="4"/>
      <c r="I23" s="4"/>
      <c r="J23" s="4"/>
      <c r="K23" s="4"/>
      <c r="L23" s="4"/>
      <c r="M23" s="4"/>
    </row>
    <row r="24" spans="1:13" x14ac:dyDescent="0.25">
      <c r="A24" s="4"/>
      <c r="B24" s="31"/>
      <c r="C24" s="31"/>
      <c r="D24" s="65" t="s">
        <v>78</v>
      </c>
      <c r="E24" s="65"/>
      <c r="F24" s="65"/>
      <c r="G24" s="45">
        <f>D11</f>
        <v>0</v>
      </c>
      <c r="H24" s="4"/>
      <c r="I24" s="4"/>
      <c r="J24" s="4"/>
      <c r="K24" s="4"/>
      <c r="L24" s="4"/>
      <c r="M24" s="4"/>
    </row>
    <row r="25" spans="1:13" x14ac:dyDescent="0.25">
      <c r="A25" s="4"/>
      <c r="B25" s="31"/>
      <c r="C25" s="31"/>
      <c r="D25" s="56"/>
      <c r="E25" s="56"/>
      <c r="F25" s="56" t="s">
        <v>79</v>
      </c>
      <c r="G25" s="54">
        <f>($D$10*0.7)/0.032</f>
        <v>0</v>
      </c>
      <c r="H25" s="4"/>
      <c r="I25" s="4"/>
      <c r="J25" s="4"/>
      <c r="K25" s="4"/>
      <c r="L25" s="4"/>
      <c r="M25" s="4"/>
    </row>
    <row r="26" spans="1:13" x14ac:dyDescent="0.25">
      <c r="A26" s="4"/>
      <c r="B26" s="31"/>
      <c r="C26" s="31"/>
      <c r="D26" s="56"/>
      <c r="E26" s="56"/>
      <c r="F26" s="56" t="s">
        <v>80</v>
      </c>
      <c r="G26" s="54">
        <f>G24+G25</f>
        <v>0</v>
      </c>
      <c r="H26" s="4"/>
      <c r="I26" s="4"/>
      <c r="J26" s="4"/>
      <c r="K26" s="4"/>
      <c r="L26" s="4"/>
      <c r="M26" s="4"/>
    </row>
    <row r="27" spans="1:13" x14ac:dyDescent="0.25">
      <c r="A27" s="4"/>
      <c r="B27" s="31"/>
      <c r="C27" s="31"/>
      <c r="D27" s="65" t="s">
        <v>47</v>
      </c>
      <c r="E27" s="65"/>
      <c r="F27" s="65"/>
      <c r="G27" s="46" t="e">
        <f>($G$22/$G$26)</f>
        <v>#DIV/0!</v>
      </c>
      <c r="H27" s="4"/>
      <c r="I27" s="4"/>
      <c r="J27" s="4"/>
      <c r="K27" s="4"/>
      <c r="L27" s="4"/>
      <c r="M27" s="4"/>
    </row>
    <row r="28" spans="1:13" x14ac:dyDescent="0.25">
      <c r="A28" s="4"/>
      <c r="B28" s="31"/>
      <c r="C28" s="31"/>
      <c r="D28" s="48"/>
      <c r="E28" s="48"/>
      <c r="F28" s="48"/>
      <c r="G28" s="46"/>
      <c r="H28" s="4"/>
      <c r="I28" s="4"/>
      <c r="J28" s="4"/>
      <c r="K28" s="4"/>
      <c r="L28" s="4"/>
      <c r="M28" s="4"/>
    </row>
    <row r="29" spans="1:13" ht="2.1" customHeight="1" x14ac:dyDescent="0.25">
      <c r="A29" s="14"/>
      <c r="B29" s="49"/>
      <c r="C29" s="49"/>
      <c r="D29" s="49"/>
      <c r="E29" s="49"/>
      <c r="F29" s="49"/>
      <c r="G29" s="50"/>
      <c r="H29" s="4"/>
      <c r="I29" s="4"/>
      <c r="J29" s="4"/>
      <c r="K29" s="4"/>
      <c r="L29" s="4"/>
      <c r="M29" s="4"/>
    </row>
    <row r="30" spans="1:13" ht="26.25" x14ac:dyDescent="0.25">
      <c r="B30" s="60" t="s">
        <v>0</v>
      </c>
      <c r="C30" s="60" t="s">
        <v>1</v>
      </c>
      <c r="D30" s="60" t="s">
        <v>2</v>
      </c>
      <c r="E30" s="41" t="s">
        <v>3</v>
      </c>
      <c r="F30" s="41" t="s">
        <v>4</v>
      </c>
      <c r="G30" s="61" t="s">
        <v>5</v>
      </c>
      <c r="H30" s="4"/>
      <c r="I30" s="4"/>
      <c r="J30" s="4"/>
      <c r="K30" s="4"/>
      <c r="L30" s="4"/>
      <c r="M30" s="4"/>
    </row>
    <row r="31" spans="1:13" ht="2.1" customHeight="1" x14ac:dyDescent="0.25">
      <c r="A31" s="70" t="s">
        <v>44</v>
      </c>
      <c r="B31" s="22"/>
      <c r="C31" s="22"/>
      <c r="D31" s="22"/>
      <c r="E31" s="23"/>
      <c r="F31" s="23"/>
      <c r="G31" s="24"/>
      <c r="H31" s="4"/>
      <c r="I31" s="4"/>
      <c r="J31" s="4"/>
      <c r="K31" s="4"/>
      <c r="L31" s="4"/>
      <c r="M31" s="4"/>
    </row>
    <row r="32" spans="1:13" ht="15" customHeight="1" x14ac:dyDescent="0.25">
      <c r="A32" s="70"/>
      <c r="B32" s="8"/>
      <c r="C32" s="9" t="e">
        <f>VLOOKUP(B32,ARTICULOS!$A$3:$D$58,2)</f>
        <v>#N/A</v>
      </c>
      <c r="D32" s="55"/>
      <c r="E32" s="10" t="e">
        <f>VLOOKUP(B32,ARTICULOS!$A$3:$D$58,3)</f>
        <v>#N/A</v>
      </c>
      <c r="F32" s="11" t="e">
        <f>VLOOKUP(B32,ARTICULOS!$A$3:$D$58,4)</f>
        <v>#N/A</v>
      </c>
      <c r="G32" s="21" t="e">
        <f t="shared" ref="G32:G36" si="1">D32*F32</f>
        <v>#N/A</v>
      </c>
      <c r="H32" s="4"/>
      <c r="I32" s="4"/>
      <c r="J32" s="4"/>
      <c r="K32" s="4"/>
      <c r="L32" s="4"/>
      <c r="M32" s="4"/>
    </row>
    <row r="33" spans="1:13" x14ac:dyDescent="0.25">
      <c r="A33" s="70"/>
      <c r="B33" s="8"/>
      <c r="C33" s="9" t="e">
        <f>VLOOKUP(B33,ARTICULOS!$A$3:$D$58,2)</f>
        <v>#N/A</v>
      </c>
      <c r="D33" s="55"/>
      <c r="E33" s="10" t="e">
        <f>VLOOKUP(B33,ARTICULOS!$A$3:$D$58,3)</f>
        <v>#N/A</v>
      </c>
      <c r="F33" s="11" t="e">
        <f>VLOOKUP(B33,ARTICULOS!$A$3:$D$58,4)</f>
        <v>#N/A</v>
      </c>
      <c r="G33" s="21" t="e">
        <f t="shared" si="1"/>
        <v>#N/A</v>
      </c>
      <c r="H33" s="4"/>
      <c r="I33" s="4"/>
      <c r="J33" s="4"/>
      <c r="K33" s="4"/>
      <c r="L33" s="4"/>
      <c r="M33" s="4"/>
    </row>
    <row r="34" spans="1:13" x14ac:dyDescent="0.25">
      <c r="A34" s="70"/>
      <c r="B34" s="8"/>
      <c r="C34" s="9" t="e">
        <f>VLOOKUP(B34,ARTICULOS!$A$3:$D$58,2)</f>
        <v>#N/A</v>
      </c>
      <c r="D34" s="55"/>
      <c r="E34" s="10" t="e">
        <f>VLOOKUP(B34,ARTICULOS!$A$3:$D$58,3)</f>
        <v>#N/A</v>
      </c>
      <c r="F34" s="11" t="e">
        <f>VLOOKUP(B34,ARTICULOS!$A$3:$D$58,4)</f>
        <v>#N/A</v>
      </c>
      <c r="G34" s="21" t="e">
        <f t="shared" si="1"/>
        <v>#N/A</v>
      </c>
      <c r="H34" s="4"/>
      <c r="I34" s="4"/>
      <c r="J34" s="4"/>
      <c r="K34" s="4"/>
      <c r="L34" s="4"/>
      <c r="M34" s="4"/>
    </row>
    <row r="35" spans="1:13" x14ac:dyDescent="0.25">
      <c r="A35" s="70"/>
      <c r="B35" s="8"/>
      <c r="C35" s="9" t="e">
        <f>VLOOKUP(B35,ARTICULOS!$A$3:$D$58,2)</f>
        <v>#N/A</v>
      </c>
      <c r="D35" s="55"/>
      <c r="E35" s="10" t="e">
        <f>VLOOKUP(B35,ARTICULOS!$A$3:$D$58,3)</f>
        <v>#N/A</v>
      </c>
      <c r="F35" s="11" t="e">
        <f>VLOOKUP(B35,ARTICULOS!$A$3:$D$58,4)</f>
        <v>#N/A</v>
      </c>
      <c r="G35" s="21" t="e">
        <f t="shared" si="1"/>
        <v>#N/A</v>
      </c>
      <c r="H35" s="4"/>
      <c r="I35" s="4"/>
      <c r="J35" s="4"/>
      <c r="K35" s="4"/>
      <c r="L35" s="4"/>
      <c r="M35" s="4"/>
    </row>
    <row r="36" spans="1:13" x14ac:dyDescent="0.25">
      <c r="A36" s="70"/>
      <c r="B36" s="8"/>
      <c r="C36" s="9" t="e">
        <f>VLOOKUP(B36,ARTICULOS!$A$3:$D$58,2)</f>
        <v>#N/A</v>
      </c>
      <c r="D36" s="55"/>
      <c r="E36" s="10" t="e">
        <f>VLOOKUP(B36,ARTICULOS!$A$3:$D$58,3)</f>
        <v>#N/A</v>
      </c>
      <c r="F36" s="11" t="e">
        <f>VLOOKUP(B36,ARTICULOS!$A$3:$D$58,4)</f>
        <v>#N/A</v>
      </c>
      <c r="G36" s="21" t="e">
        <f t="shared" si="1"/>
        <v>#N/A</v>
      </c>
      <c r="H36" s="4"/>
      <c r="I36" s="4"/>
      <c r="J36" s="4"/>
      <c r="K36" s="4"/>
      <c r="L36" s="4"/>
      <c r="M36" s="4"/>
    </row>
    <row r="37" spans="1:13" ht="2.1" customHeight="1" x14ac:dyDescent="0.25">
      <c r="A37" s="70"/>
      <c r="B37" s="25"/>
      <c r="C37" s="26"/>
      <c r="D37" s="27"/>
      <c r="E37" s="28"/>
      <c r="F37" s="29"/>
      <c r="G37" s="30"/>
      <c r="H37" s="4"/>
      <c r="I37" s="4"/>
      <c r="J37" s="4"/>
      <c r="K37" s="4"/>
      <c r="L37" s="4"/>
      <c r="M37" s="4"/>
    </row>
    <row r="38" spans="1:13" x14ac:dyDescent="0.25">
      <c r="A38" s="4"/>
      <c r="B38" s="15"/>
      <c r="C38" s="57"/>
      <c r="D38" s="65" t="s">
        <v>81</v>
      </c>
      <c r="E38" s="65"/>
      <c r="F38" s="65"/>
      <c r="G38" s="44" t="e">
        <f>SUM(G32:G36)</f>
        <v>#N/A</v>
      </c>
      <c r="H38" s="4"/>
      <c r="I38" s="4"/>
      <c r="J38" s="4"/>
      <c r="K38" s="4"/>
      <c r="L38" s="4"/>
      <c r="M38" s="4"/>
    </row>
    <row r="39" spans="1:13" x14ac:dyDescent="0.25">
      <c r="A39" s="4"/>
      <c r="B39" s="15"/>
      <c r="C39" s="65" t="s">
        <v>82</v>
      </c>
      <c r="D39" s="65"/>
      <c r="E39" s="65"/>
      <c r="F39" s="65"/>
      <c r="G39" s="47" t="e">
        <f>G21+G38</f>
        <v>#N/A</v>
      </c>
      <c r="H39" s="4"/>
      <c r="I39" s="4"/>
      <c r="J39" s="4"/>
      <c r="K39" s="4"/>
      <c r="L39" s="4"/>
      <c r="M39" s="4"/>
    </row>
    <row r="40" spans="1:13" x14ac:dyDescent="0.25">
      <c r="A40" s="4"/>
      <c r="B40" s="15"/>
      <c r="C40" s="57"/>
      <c r="D40" s="65" t="s">
        <v>83</v>
      </c>
      <c r="E40" s="65"/>
      <c r="F40" s="65"/>
      <c r="G40" s="44" t="e">
        <f>G39/G22</f>
        <v>#N/A</v>
      </c>
      <c r="H40" s="4"/>
      <c r="I40" s="4"/>
      <c r="J40" s="4"/>
      <c r="K40" s="4"/>
      <c r="L40" s="4"/>
      <c r="M40" s="4"/>
    </row>
    <row r="41" spans="1:13" x14ac:dyDescent="0.25">
      <c r="A41" s="4"/>
      <c r="B41" s="4"/>
      <c r="C41" s="4"/>
      <c r="D41" s="4"/>
      <c r="E41" s="4"/>
      <c r="F41" s="4"/>
      <c r="H41" s="4"/>
      <c r="I41" s="4"/>
      <c r="J41" s="4"/>
      <c r="K41" s="4"/>
      <c r="L41" s="4"/>
      <c r="M41" s="4"/>
    </row>
    <row r="42" spans="1:13" x14ac:dyDescent="0.25">
      <c r="A42" s="4"/>
      <c r="B42" s="4"/>
      <c r="C42" s="4"/>
      <c r="D42" s="4"/>
      <c r="E42" s="4"/>
      <c r="F42" s="4"/>
    </row>
  </sheetData>
  <mergeCells count="19">
    <mergeCell ref="A1:A3"/>
    <mergeCell ref="B1:F2"/>
    <mergeCell ref="B3:F3"/>
    <mergeCell ref="A9:A20"/>
    <mergeCell ref="A31:A37"/>
    <mergeCell ref="D40:F40"/>
    <mergeCell ref="C39:F39"/>
    <mergeCell ref="D22:F22"/>
    <mergeCell ref="D23:F23"/>
    <mergeCell ref="D21:F21"/>
    <mergeCell ref="D24:F24"/>
    <mergeCell ref="D27:F27"/>
    <mergeCell ref="D38:F38"/>
    <mergeCell ref="I8:K8"/>
    <mergeCell ref="I10:J10"/>
    <mergeCell ref="I12:J12"/>
    <mergeCell ref="I13:J13"/>
    <mergeCell ref="I9:K9"/>
    <mergeCell ref="I11:J11"/>
  </mergeCells>
  <dataValidations count="4">
    <dataValidation type="date" operator="greaterThanOrEqual" allowBlank="1" showInputMessage="1" showErrorMessage="1" error="La fecha no puede ser anterior a la fecha actual del sistema._x000a_Ingrese una fecha válida." prompt="Ingrese la fecha de producción" sqref="G5:G6" xr:uid="{00000000-0002-0000-0000-000000000000}">
      <formula1>TODAY()</formula1>
    </dataValidation>
    <dataValidation allowBlank="1" showInputMessage="1" showErrorMessage="1" prompt="Ingrese la cantidad de producto a costear." sqref="D10:D19" xr:uid="{00000000-0002-0000-0000-000001000000}"/>
    <dataValidation allowBlank="1" showInputMessage="1" showErrorMessage="1" prompt="Ingrese el número de Lote de Producción" sqref="E5:E6" xr:uid="{00000000-0002-0000-0000-000002000000}"/>
    <dataValidation allowBlank="1" showInputMessage="1" showErrorMessage="1" prompt="Ingrese el nombre del producto a producir." sqref="C5:C6" xr:uid="{00000000-0002-0000-0000-000003000000}"/>
  </dataValidations>
  <pageMargins left="0.70866141732283472" right="0.70866141732283472" top="0.55118110236220474" bottom="0.55118110236220474" header="0.31496062992125984" footer="0.31496062992125984"/>
  <pageSetup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ODIGO" error="Código incorrecto. Seleccione un código de la lista desplegable" prompt="Seleccione el código de la Materia Prima." xr:uid="{00000000-0002-0000-0000-000004000000}">
          <x14:formula1>
            <xm:f>ARTICULOS!$A$3:$A$16</xm:f>
          </x14:formula1>
          <xm:sqref>B20 B37</xm:sqref>
        </x14:dataValidation>
        <x14:dataValidation type="list" allowBlank="1" showInputMessage="1" showErrorMessage="1" errorTitle="CODIGO" error="Código incorrecto. Seleccione un código de la lista desplegable" prompt="Seleccione el código de la Materia Prima." xr:uid="{00000000-0002-0000-0000-000005000000}">
          <x14:formula1>
            <xm:f>ARTICULOS!$A$3:$A$58</xm:f>
          </x14:formula1>
          <xm:sqref>B32:B36 B10:B19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A3"/>
  <sheetViews>
    <sheetView workbookViewId="0">
      <selection activeCell="A3" sqref="A3"/>
    </sheetView>
  </sheetViews>
  <sheetFormatPr baseColWidth="10" defaultRowHeight="15" x14ac:dyDescent="0.25"/>
  <cols>
    <col min="1" max="1" width="15.7109375" customWidth="1"/>
  </cols>
  <sheetData>
    <row r="1" spans="1:1" ht="25.5" x14ac:dyDescent="0.25">
      <c r="A1" s="20" t="s">
        <v>38</v>
      </c>
    </row>
    <row r="2" spans="1:1" ht="2.1" customHeight="1" x14ac:dyDescent="0.25">
      <c r="A2" s="5"/>
    </row>
    <row r="3" spans="1:1" x14ac:dyDescent="0.25">
      <c r="A3" s="51">
        <v>0</v>
      </c>
    </row>
  </sheetData>
  <sheetProtection algorithmName="SHA-512" hashValue="prJE4X9WAiOVcs78tck1Z1Q3lbLIEIvZfVjXMpdJ010/VdHsZt1sm6HwFzCbrgoo/zVJVD+8keqNf6rijJQlHA==" saltValue="TWaCxqIPcNnkOKjTU77CK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9" tint="-0.499984740745262"/>
  </sheetPr>
  <dimension ref="A1:D58"/>
  <sheetViews>
    <sheetView zoomScaleNormal="100" workbookViewId="0">
      <selection activeCell="D5" sqref="D5"/>
    </sheetView>
  </sheetViews>
  <sheetFormatPr baseColWidth="10" defaultRowHeight="15" x14ac:dyDescent="0.25"/>
  <cols>
    <col min="1" max="1" width="12.5703125" bestFit="1" customWidth="1"/>
    <col min="2" max="2" width="53.85546875" bestFit="1" customWidth="1"/>
    <col min="3" max="3" width="16.5703125" bestFit="1" customWidth="1"/>
    <col min="4" max="4" width="14.28515625" bestFit="1" customWidth="1"/>
  </cols>
  <sheetData>
    <row r="1" spans="1:4" ht="20.100000000000001" customHeight="1" x14ac:dyDescent="0.25">
      <c r="A1" s="52" t="s">
        <v>0</v>
      </c>
      <c r="B1" s="52" t="s">
        <v>22</v>
      </c>
      <c r="C1" s="53" t="s">
        <v>3</v>
      </c>
      <c r="D1" s="53" t="s">
        <v>4</v>
      </c>
    </row>
    <row r="2" spans="1:4" ht="2.4500000000000002" customHeight="1" x14ac:dyDescent="0.25">
      <c r="A2" s="2"/>
      <c r="B2" s="2"/>
      <c r="C2" s="1"/>
      <c r="D2" s="1"/>
    </row>
    <row r="3" spans="1:4" x14ac:dyDescent="0.25">
      <c r="A3" s="15" t="s">
        <v>31</v>
      </c>
      <c r="B3" s="15" t="s">
        <v>11</v>
      </c>
      <c r="C3" s="15" t="s">
        <v>26</v>
      </c>
      <c r="D3" s="16">
        <v>8.4499999999999993</v>
      </c>
    </row>
    <row r="4" spans="1:4" x14ac:dyDescent="0.25">
      <c r="A4" s="15" t="s">
        <v>17</v>
      </c>
      <c r="B4" s="15" t="s">
        <v>16</v>
      </c>
      <c r="C4" s="15" t="s">
        <v>25</v>
      </c>
      <c r="D4" s="16">
        <v>1</v>
      </c>
    </row>
    <row r="5" spans="1:4" x14ac:dyDescent="0.25">
      <c r="A5" s="9" t="s">
        <v>106</v>
      </c>
      <c r="B5" s="18" t="s">
        <v>105</v>
      </c>
      <c r="C5" s="9" t="s">
        <v>29</v>
      </c>
      <c r="D5" s="16"/>
    </row>
    <row r="6" spans="1:4" x14ac:dyDescent="0.25">
      <c r="A6" s="15" t="s">
        <v>32</v>
      </c>
      <c r="B6" s="15" t="s">
        <v>23</v>
      </c>
      <c r="C6" s="15" t="s">
        <v>29</v>
      </c>
      <c r="D6" s="16">
        <v>4.09</v>
      </c>
    </row>
    <row r="7" spans="1:4" x14ac:dyDescent="0.25">
      <c r="A7" s="15" t="s">
        <v>49</v>
      </c>
      <c r="B7" s="15" t="s">
        <v>50</v>
      </c>
      <c r="C7" s="15" t="s">
        <v>26</v>
      </c>
      <c r="D7" s="16"/>
    </row>
    <row r="8" spans="1:4" x14ac:dyDescent="0.25">
      <c r="A8" s="15" t="s">
        <v>21</v>
      </c>
      <c r="B8" s="15" t="s">
        <v>104</v>
      </c>
      <c r="C8" s="15" t="s">
        <v>29</v>
      </c>
      <c r="D8" s="16"/>
    </row>
    <row r="9" spans="1:4" x14ac:dyDescent="0.25">
      <c r="A9" s="15" t="s">
        <v>51</v>
      </c>
      <c r="B9" s="17" t="s">
        <v>52</v>
      </c>
      <c r="C9" s="15" t="s">
        <v>29</v>
      </c>
      <c r="D9" s="16"/>
    </row>
    <row r="10" spans="1:4" x14ac:dyDescent="0.25">
      <c r="A10" s="15" t="s">
        <v>110</v>
      </c>
      <c r="B10" s="15" t="s">
        <v>111</v>
      </c>
      <c r="C10" s="15" t="s">
        <v>29</v>
      </c>
      <c r="D10" s="16">
        <v>2.0699999999999998</v>
      </c>
    </row>
    <row r="11" spans="1:4" x14ac:dyDescent="0.25">
      <c r="A11" s="15" t="s">
        <v>33</v>
      </c>
      <c r="B11" s="15" t="s">
        <v>9</v>
      </c>
      <c r="C11" s="15" t="s">
        <v>26</v>
      </c>
      <c r="D11" s="16">
        <v>8.33</v>
      </c>
    </row>
    <row r="12" spans="1:4" x14ac:dyDescent="0.25">
      <c r="A12" s="15" t="s">
        <v>53</v>
      </c>
      <c r="B12" s="15" t="s">
        <v>107</v>
      </c>
      <c r="C12" s="15" t="s">
        <v>26</v>
      </c>
      <c r="D12" s="16"/>
    </row>
    <row r="13" spans="1:4" x14ac:dyDescent="0.25">
      <c r="A13" s="15" t="s">
        <v>90</v>
      </c>
      <c r="B13" s="15" t="s">
        <v>91</v>
      </c>
      <c r="C13" s="15" t="s">
        <v>27</v>
      </c>
      <c r="D13" s="4"/>
    </row>
    <row r="14" spans="1:4" x14ac:dyDescent="0.25">
      <c r="A14" s="15" t="s">
        <v>36</v>
      </c>
      <c r="B14" s="15" t="s">
        <v>12</v>
      </c>
      <c r="C14" s="15" t="s">
        <v>27</v>
      </c>
      <c r="D14" s="16">
        <v>0.21</v>
      </c>
    </row>
    <row r="15" spans="1:4" x14ac:dyDescent="0.25">
      <c r="A15" s="15" t="s">
        <v>13</v>
      </c>
      <c r="B15" s="15" t="s">
        <v>14</v>
      </c>
      <c r="C15" s="15" t="s">
        <v>28</v>
      </c>
      <c r="D15" s="16">
        <v>262.73</v>
      </c>
    </row>
    <row r="16" spans="1:4" x14ac:dyDescent="0.25">
      <c r="A16" s="15" t="s">
        <v>37</v>
      </c>
      <c r="B16" s="15" t="s">
        <v>18</v>
      </c>
      <c r="C16" s="15" t="s">
        <v>27</v>
      </c>
      <c r="D16" s="16"/>
    </row>
    <row r="17" spans="1:4" x14ac:dyDescent="0.25">
      <c r="A17" s="15" t="s">
        <v>125</v>
      </c>
      <c r="B17" s="15" t="s">
        <v>124</v>
      </c>
      <c r="C17" s="15" t="s">
        <v>25</v>
      </c>
      <c r="D17" s="4"/>
    </row>
    <row r="18" spans="1:4" x14ac:dyDescent="0.25">
      <c r="A18" s="15" t="s">
        <v>139</v>
      </c>
      <c r="B18" s="15" t="s">
        <v>138</v>
      </c>
      <c r="C18" s="15" t="s">
        <v>25</v>
      </c>
    </row>
    <row r="19" spans="1:4" x14ac:dyDescent="0.25">
      <c r="A19" s="15" t="s">
        <v>123</v>
      </c>
      <c r="B19" s="15" t="s">
        <v>122</v>
      </c>
      <c r="C19" s="15" t="s">
        <v>25</v>
      </c>
      <c r="D19" s="4"/>
    </row>
    <row r="20" spans="1:4" x14ac:dyDescent="0.25">
      <c r="A20" s="15" t="s">
        <v>145</v>
      </c>
      <c r="B20" s="15" t="s">
        <v>146</v>
      </c>
      <c r="C20" s="15" t="s">
        <v>26</v>
      </c>
    </row>
    <row r="21" spans="1:4" x14ac:dyDescent="0.25">
      <c r="A21" s="15" t="s">
        <v>137</v>
      </c>
      <c r="B21" s="15" t="s">
        <v>136</v>
      </c>
      <c r="C21" s="15" t="s">
        <v>25</v>
      </c>
    </row>
    <row r="22" spans="1:4" x14ac:dyDescent="0.25">
      <c r="A22" s="15" t="s">
        <v>131</v>
      </c>
      <c r="B22" s="15" t="s">
        <v>130</v>
      </c>
      <c r="C22" s="15" t="s">
        <v>25</v>
      </c>
    </row>
    <row r="23" spans="1:4" x14ac:dyDescent="0.25">
      <c r="A23" s="15" t="s">
        <v>121</v>
      </c>
      <c r="B23" s="15" t="s">
        <v>120</v>
      </c>
      <c r="C23" s="15" t="s">
        <v>25</v>
      </c>
      <c r="D23" s="4"/>
    </row>
    <row r="24" spans="1:4" x14ac:dyDescent="0.25">
      <c r="A24" s="15" t="s">
        <v>135</v>
      </c>
      <c r="B24" s="15" t="s">
        <v>134</v>
      </c>
      <c r="C24" s="15" t="s">
        <v>25</v>
      </c>
    </row>
    <row r="25" spans="1:4" x14ac:dyDescent="0.25">
      <c r="A25" s="15" t="s">
        <v>129</v>
      </c>
      <c r="B25" s="15" t="s">
        <v>128</v>
      </c>
      <c r="C25" s="15" t="s">
        <v>25</v>
      </c>
    </row>
    <row r="26" spans="1:4" x14ac:dyDescent="0.25">
      <c r="A26" s="15" t="s">
        <v>127</v>
      </c>
      <c r="B26" s="15" t="s">
        <v>126</v>
      </c>
      <c r="C26" s="15" t="s">
        <v>25</v>
      </c>
      <c r="D26" s="4"/>
    </row>
    <row r="27" spans="1:4" x14ac:dyDescent="0.25">
      <c r="A27" s="15" t="s">
        <v>133</v>
      </c>
      <c r="B27" s="15" t="s">
        <v>132</v>
      </c>
      <c r="C27" s="15" t="s">
        <v>25</v>
      </c>
    </row>
    <row r="28" spans="1:4" x14ac:dyDescent="0.25">
      <c r="A28" s="9" t="s">
        <v>54</v>
      </c>
      <c r="B28" s="18" t="s">
        <v>55</v>
      </c>
      <c r="C28" s="9" t="s">
        <v>29</v>
      </c>
      <c r="D28" s="16"/>
    </row>
    <row r="29" spans="1:4" x14ac:dyDescent="0.25">
      <c r="A29" s="9" t="s">
        <v>56</v>
      </c>
      <c r="B29" s="18" t="s">
        <v>57</v>
      </c>
      <c r="C29" s="15" t="s">
        <v>29</v>
      </c>
      <c r="D29" s="16"/>
    </row>
    <row r="30" spans="1:4" x14ac:dyDescent="0.25">
      <c r="A30" s="15" t="s">
        <v>113</v>
      </c>
      <c r="B30" s="15" t="s">
        <v>112</v>
      </c>
      <c r="C30" s="15" t="s">
        <v>29</v>
      </c>
      <c r="D30" s="16"/>
    </row>
    <row r="31" spans="1:4" x14ac:dyDescent="0.25">
      <c r="A31" s="15" t="s">
        <v>119</v>
      </c>
      <c r="B31" s="15" t="s">
        <v>118</v>
      </c>
      <c r="C31" s="15" t="s">
        <v>29</v>
      </c>
      <c r="D31" s="4"/>
    </row>
    <row r="32" spans="1:4" x14ac:dyDescent="0.25">
      <c r="A32" s="15" t="s">
        <v>117</v>
      </c>
      <c r="B32" s="15" t="s">
        <v>116</v>
      </c>
      <c r="C32" s="15" t="s">
        <v>29</v>
      </c>
      <c r="D32" s="4"/>
    </row>
    <row r="33" spans="1:4" x14ac:dyDescent="0.25">
      <c r="A33" s="15" t="s">
        <v>114</v>
      </c>
      <c r="B33" s="15" t="s">
        <v>115</v>
      </c>
      <c r="C33" s="15" t="s">
        <v>29</v>
      </c>
      <c r="D33" s="4"/>
    </row>
    <row r="34" spans="1:4" x14ac:dyDescent="0.25">
      <c r="A34" s="15" t="s">
        <v>140</v>
      </c>
      <c r="B34" s="15" t="s">
        <v>141</v>
      </c>
      <c r="C34" s="15" t="s">
        <v>29</v>
      </c>
    </row>
    <row r="35" spans="1:4" x14ac:dyDescent="0.25">
      <c r="A35" s="9" t="s">
        <v>58</v>
      </c>
      <c r="B35" s="18" t="s">
        <v>59</v>
      </c>
      <c r="C35" s="9" t="s">
        <v>26</v>
      </c>
      <c r="D35" s="16"/>
    </row>
    <row r="36" spans="1:4" x14ac:dyDescent="0.25">
      <c r="A36" s="9" t="s">
        <v>60</v>
      </c>
      <c r="B36" s="18" t="s">
        <v>61</v>
      </c>
      <c r="C36" s="9" t="s">
        <v>26</v>
      </c>
      <c r="D36" s="16"/>
    </row>
    <row r="37" spans="1:4" x14ac:dyDescent="0.25">
      <c r="A37" s="15" t="s">
        <v>109</v>
      </c>
      <c r="B37" s="15" t="s">
        <v>108</v>
      </c>
      <c r="C37" s="15" t="s">
        <v>26</v>
      </c>
      <c r="D37" s="16"/>
    </row>
    <row r="38" spans="1:4" x14ac:dyDescent="0.25">
      <c r="A38" s="15" t="s">
        <v>8</v>
      </c>
      <c r="B38" s="15" t="s">
        <v>7</v>
      </c>
      <c r="C38" s="15" t="s">
        <v>25</v>
      </c>
      <c r="D38" s="16">
        <f>'PRECIO LECHE'!$A$3</f>
        <v>0</v>
      </c>
    </row>
    <row r="39" spans="1:4" x14ac:dyDescent="0.25">
      <c r="A39" s="15" t="s">
        <v>19</v>
      </c>
      <c r="B39" s="15" t="s">
        <v>20</v>
      </c>
      <c r="C39" s="15" t="s">
        <v>30</v>
      </c>
      <c r="D39" s="16">
        <v>4.6100000000000003</v>
      </c>
    </row>
    <row r="40" spans="1:4" x14ac:dyDescent="0.25">
      <c r="A40" s="15" t="s">
        <v>48</v>
      </c>
      <c r="B40" s="15" t="s">
        <v>24</v>
      </c>
      <c r="C40" s="15" t="s">
        <v>29</v>
      </c>
      <c r="D40" s="16"/>
    </row>
    <row r="41" spans="1:4" x14ac:dyDescent="0.25">
      <c r="A41" s="15" t="s">
        <v>100</v>
      </c>
      <c r="B41" s="15" t="s">
        <v>101</v>
      </c>
      <c r="C41" s="15" t="s">
        <v>29</v>
      </c>
      <c r="D41" s="4"/>
    </row>
    <row r="42" spans="1:4" x14ac:dyDescent="0.25">
      <c r="A42" s="15" t="s">
        <v>99</v>
      </c>
      <c r="B42" s="15" t="s">
        <v>62</v>
      </c>
      <c r="C42" s="15" t="s">
        <v>26</v>
      </c>
      <c r="D42" s="16"/>
    </row>
    <row r="43" spans="1:4" x14ac:dyDescent="0.25">
      <c r="A43" s="9" t="s">
        <v>39</v>
      </c>
      <c r="B43" s="18" t="s">
        <v>40</v>
      </c>
      <c r="C43" s="9" t="s">
        <v>30</v>
      </c>
      <c r="D43" s="16">
        <v>0.04</v>
      </c>
    </row>
    <row r="44" spans="1:4" x14ac:dyDescent="0.25">
      <c r="A44" s="15" t="s">
        <v>34</v>
      </c>
      <c r="B44" s="15" t="s">
        <v>15</v>
      </c>
      <c r="C44" s="15" t="s">
        <v>26</v>
      </c>
      <c r="D44" s="16">
        <v>46.88</v>
      </c>
    </row>
    <row r="45" spans="1:4" x14ac:dyDescent="0.25">
      <c r="A45" s="15" t="s">
        <v>88</v>
      </c>
      <c r="B45" s="15" t="s">
        <v>89</v>
      </c>
      <c r="C45" s="15" t="s">
        <v>30</v>
      </c>
      <c r="D45" s="4"/>
    </row>
    <row r="46" spans="1:4" x14ac:dyDescent="0.25">
      <c r="A46" s="15" t="s">
        <v>103</v>
      </c>
      <c r="B46" s="15" t="s">
        <v>102</v>
      </c>
      <c r="C46" s="15" t="s">
        <v>29</v>
      </c>
      <c r="D46" s="16"/>
    </row>
    <row r="47" spans="1:4" x14ac:dyDescent="0.25">
      <c r="A47" s="15" t="s">
        <v>92</v>
      </c>
      <c r="B47" s="15" t="s">
        <v>63</v>
      </c>
      <c r="C47" s="15" t="s">
        <v>26</v>
      </c>
      <c r="D47" s="16"/>
    </row>
    <row r="48" spans="1:4" x14ac:dyDescent="0.25">
      <c r="A48" s="15" t="s">
        <v>95</v>
      </c>
      <c r="B48" s="15" t="s">
        <v>66</v>
      </c>
      <c r="C48" s="15" t="s">
        <v>29</v>
      </c>
      <c r="D48" s="16"/>
    </row>
    <row r="49" spans="1:4" x14ac:dyDescent="0.25">
      <c r="A49" s="15" t="s">
        <v>94</v>
      </c>
      <c r="B49" s="15" t="s">
        <v>65</v>
      </c>
      <c r="C49" s="15" t="s">
        <v>29</v>
      </c>
      <c r="D49" s="16"/>
    </row>
    <row r="50" spans="1:4" x14ac:dyDescent="0.25">
      <c r="A50" s="15" t="s">
        <v>93</v>
      </c>
      <c r="B50" s="15" t="s">
        <v>64</v>
      </c>
      <c r="C50" s="15" t="s">
        <v>26</v>
      </c>
      <c r="D50" s="16"/>
    </row>
    <row r="51" spans="1:4" x14ac:dyDescent="0.25">
      <c r="A51" s="15" t="s">
        <v>97</v>
      </c>
      <c r="B51" s="15" t="s">
        <v>68</v>
      </c>
      <c r="C51" s="15" t="s">
        <v>26</v>
      </c>
      <c r="D51" s="16"/>
    </row>
    <row r="52" spans="1:4" x14ac:dyDescent="0.25">
      <c r="A52" s="15" t="s">
        <v>96</v>
      </c>
      <c r="B52" s="15" t="s">
        <v>67</v>
      </c>
      <c r="C52" s="15" t="s">
        <v>26</v>
      </c>
      <c r="D52" s="16"/>
    </row>
    <row r="53" spans="1:4" x14ac:dyDescent="0.25">
      <c r="A53" s="15" t="s">
        <v>143</v>
      </c>
      <c r="B53" s="15" t="s">
        <v>142</v>
      </c>
      <c r="C53" s="15" t="s">
        <v>29</v>
      </c>
    </row>
    <row r="54" spans="1:4" x14ac:dyDescent="0.25">
      <c r="A54" s="15" t="s">
        <v>144</v>
      </c>
      <c r="B54" s="15" t="s">
        <v>74</v>
      </c>
      <c r="C54" s="15" t="s">
        <v>29</v>
      </c>
    </row>
    <row r="55" spans="1:4" x14ac:dyDescent="0.25">
      <c r="A55" s="15" t="s">
        <v>98</v>
      </c>
      <c r="B55" s="15" t="s">
        <v>69</v>
      </c>
      <c r="C55" s="15" t="s">
        <v>26</v>
      </c>
      <c r="D55" s="16"/>
    </row>
    <row r="56" spans="1:4" x14ac:dyDescent="0.25">
      <c r="A56" s="15" t="s">
        <v>35</v>
      </c>
      <c r="B56" s="15" t="s">
        <v>10</v>
      </c>
      <c r="C56" s="15" t="s">
        <v>26</v>
      </c>
      <c r="D56" s="16">
        <v>1.79</v>
      </c>
    </row>
    <row r="57" spans="1:4" x14ac:dyDescent="0.25">
      <c r="A57" s="15" t="s">
        <v>72</v>
      </c>
      <c r="B57" s="15" t="s">
        <v>73</v>
      </c>
      <c r="C57" s="15" t="s">
        <v>29</v>
      </c>
      <c r="D57" s="16">
        <v>0.82</v>
      </c>
    </row>
    <row r="58" spans="1:4" x14ac:dyDescent="0.25">
      <c r="A58" s="19" t="s">
        <v>70</v>
      </c>
      <c r="B58" s="19" t="s">
        <v>71</v>
      </c>
      <c r="C58" s="15" t="s">
        <v>29</v>
      </c>
      <c r="D58" s="16">
        <v>0.65</v>
      </c>
    </row>
  </sheetData>
  <sortState xmlns:xlrd2="http://schemas.microsoft.com/office/spreadsheetml/2017/richdata2" ref="A3:D58">
    <sortCondition ref="B3"/>
  </sortState>
  <pageMargins left="0.7" right="0.7" top="0.75" bottom="0.75" header="0.3" footer="0.3"/>
  <pageSetup orientation="landscape" horizont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COSTOS</vt:lpstr>
      <vt:lpstr>PRECIO LECHE</vt:lpstr>
      <vt:lpstr>ARTICULOS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Ovidio Murga Polanco</dc:creator>
  <cp:lastModifiedBy>Luis Ovidio Murga Polanco</cp:lastModifiedBy>
  <cp:lastPrinted>2017-01-27T19:18:29Z</cp:lastPrinted>
  <dcterms:created xsi:type="dcterms:W3CDTF">2016-11-30T17:58:20Z</dcterms:created>
  <dcterms:modified xsi:type="dcterms:W3CDTF">2019-07-23T04:48:23Z</dcterms:modified>
</cp:coreProperties>
</file>